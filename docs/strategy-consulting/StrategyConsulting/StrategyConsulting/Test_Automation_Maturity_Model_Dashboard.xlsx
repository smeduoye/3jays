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a5647b932c6e0b8b/all_folders/Joomnet/StrategyConsulting/"/>
    </mc:Choice>
  </mc:AlternateContent>
  <xr:revisionPtr revIDLastSave="173" documentId="8_{A62C7B51-0056-8B47-8461-A7B229214A2F}" xr6:coauthVersionLast="47" xr6:coauthVersionMax="47" xr10:uidLastSave="{16901B13-BDDD-452E-886F-80F56AB2510D}"/>
  <bookViews>
    <workbookView xWindow="6400" yWindow="3300" windowWidth="25600" windowHeight="15500" firstSheet="2" activeTab="2" xr2:uid="{00000000-000D-0000-FFFF-FFFF00000000}"/>
  </bookViews>
  <sheets>
    <sheet name="Sheet1" sheetId="1" r:id="rId1"/>
    <sheet name="Assessment Scores (2)" sheetId="3" r:id="rId2"/>
    <sheet name="Assessment Scor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J5" i="2"/>
  <c r="J4" i="2"/>
  <c r="J3" i="2"/>
  <c r="J2" i="2"/>
  <c r="H8" i="2"/>
  <c r="H7" i="2"/>
  <c r="H6" i="2"/>
  <c r="H5" i="2"/>
  <c r="H4" i="2"/>
  <c r="H3" i="2"/>
  <c r="H2" i="2"/>
  <c r="G8" i="2"/>
  <c r="G6" i="2"/>
  <c r="G5" i="2"/>
  <c r="G4" i="2"/>
  <c r="G3" i="2"/>
  <c r="G2" i="2"/>
  <c r="F8" i="2"/>
  <c r="F7" i="2"/>
  <c r="F6" i="2"/>
  <c r="F5" i="2"/>
  <c r="F4" i="2"/>
  <c r="F3" i="2"/>
  <c r="F2" i="2"/>
  <c r="E8" i="2"/>
  <c r="E7" i="2"/>
  <c r="E6" i="2"/>
  <c r="E5" i="2"/>
  <c r="E4" i="2"/>
  <c r="E3" i="2"/>
  <c r="B3" i="2"/>
  <c r="B4" i="2"/>
  <c r="B5" i="2"/>
  <c r="B6" i="2"/>
  <c r="B7" i="2"/>
  <c r="B8" i="2"/>
  <c r="B2" i="2"/>
</calcChain>
</file>

<file path=xl/sharedStrings.xml><?xml version="1.0" encoding="utf-8"?>
<sst xmlns="http://schemas.openxmlformats.org/spreadsheetml/2006/main" count="95" uniqueCount="82">
  <si>
    <t>Capability Area</t>
  </si>
  <si>
    <t>Level 1: Initial</t>
  </si>
  <si>
    <t>Level 2: Managed</t>
  </si>
  <si>
    <t>Level 3: Defined</t>
  </si>
  <si>
    <t>Level 4: Measured</t>
  </si>
  <si>
    <t>Level 5: Optimized</t>
  </si>
  <si>
    <t>Strategy &amp; Vision</t>
  </si>
  <si>
    <t>No formal strategy</t>
  </si>
  <si>
    <t>Some automation used reactively</t>
  </si>
  <si>
    <t>Documented strategy aligned to QA goals</t>
  </si>
  <si>
    <t>Aligned with dev &amp; CI/CD</t>
  </si>
  <si>
    <t>Strategic, data-driven roadmap tied to business KPIs</t>
  </si>
  <si>
    <t>Test Coverage</t>
  </si>
  <si>
    <t>&lt;10% automated</t>
  </si>
  <si>
    <t>Unit tests only or scattered scripts</t>
  </si>
  <si>
    <t>Key functional flows automated</t>
  </si>
  <si>
    <t>&gt;80% critical paths automated</t>
  </si>
  <si>
    <t>Risk-based, adaptive coverage across systems</t>
  </si>
  <si>
    <t>Tooling &amp; Frameworks</t>
  </si>
  <si>
    <t>Manual or basic scripts</t>
  </si>
  <si>
    <t>Inconsistent tools per team</t>
  </si>
  <si>
    <t>Standardized frameworks &amp; libraries</t>
  </si>
  <si>
    <t>CI-integrated, scalable tools</t>
  </si>
  <si>
    <t>Tooling evolves with tech stack &amp; needs</t>
  </si>
  <si>
    <t>Test Design &amp; Reuse</t>
  </si>
  <si>
    <t>Ad-hoc, redundant tests</t>
  </si>
  <si>
    <t>Basic reuse, but low modularity</t>
  </si>
  <si>
    <t>Modular, data-driven, reusable tests</t>
  </si>
  <si>
    <t>High abstraction with shared libraries</t>
  </si>
  <si>
    <t>Model-based or AI-assisted test generation</t>
  </si>
  <si>
    <t>CI/CD Integration</t>
  </si>
  <si>
    <t>Not integrated</t>
  </si>
  <si>
    <t>Partial integration (manual triggers)</t>
  </si>
  <si>
    <t>Fully integrated into CI/CD</t>
  </si>
  <si>
    <t>Automated gates in pipelines</t>
  </si>
  <si>
    <t>Self-healing, context-aware tests with analytics</t>
  </si>
  <si>
    <t>Execution &amp; Environment</t>
  </si>
  <si>
    <t>Manual execution</t>
  </si>
  <si>
    <t>Scheduled automation runs</t>
  </si>
  <si>
    <t>Cross-browser/device automation in stable test envs</t>
  </si>
  <si>
    <t>Parallel runs, virtualized test envs</t>
  </si>
  <si>
    <t>Cloud-native, on-demand scalable environments</t>
  </si>
  <si>
    <t>Test Data Management</t>
  </si>
  <si>
    <t>Hardcoded or reused test data</t>
  </si>
  <si>
    <t>Some automation of test data setup</t>
  </si>
  <si>
    <t>Automated test data creation &amp; cleanup</t>
  </si>
  <si>
    <t>Synthetic or masked production-like data</t>
  </si>
  <si>
    <t>Smart data generation tied to test context</t>
  </si>
  <si>
    <t>Reporting &amp; Analytics</t>
  </si>
  <si>
    <t>Minimal visibility</t>
  </si>
  <si>
    <t>Basic pass/fail dashboards</t>
  </si>
  <si>
    <t>Custom reports with trend tracking</t>
  </si>
  <si>
    <t>Metrics tied to release quality and stability</t>
  </si>
  <si>
    <t>Predictive insights and anomaly detection via AI</t>
  </si>
  <si>
    <t>Team Skills &amp; Culture</t>
  </si>
  <si>
    <t>Low automation skills</t>
  </si>
  <si>
    <t>Few trained automation testers</t>
  </si>
  <si>
    <t>Cross-trained QA &amp; developers</t>
  </si>
  <si>
    <t>Full team owns automation</t>
  </si>
  <si>
    <t>Automation-first mindset; SDET culture across org</t>
  </si>
  <si>
    <t>Governance &amp; Maintenance</t>
  </si>
  <si>
    <t>Scripts often broken or outdated</t>
  </si>
  <si>
    <t>Periodic reviews only</t>
  </si>
  <si>
    <t>Version control and maintenance cycles in place</t>
  </si>
  <si>
    <t>Technical debt tracked and reduced</t>
  </si>
  <si>
    <t>Autonomous test maintenance (e.g. self-healing tests)</t>
  </si>
  <si>
    <t>Score (1-5)</t>
  </si>
  <si>
    <t>Health</t>
  </si>
  <si>
    <t>A</t>
  </si>
  <si>
    <t>B</t>
  </si>
  <si>
    <t>C</t>
  </si>
  <si>
    <t>D</t>
  </si>
  <si>
    <t>E</t>
  </si>
  <si>
    <t>F</t>
  </si>
  <si>
    <t>G</t>
  </si>
  <si>
    <t>Leadership Commitment &amp; Vision</t>
  </si>
  <si>
    <t>Organisational Culture</t>
  </si>
  <si>
    <t>Structural Flexibility</t>
  </si>
  <si>
    <t>Capability to Sense &amp; Respond</t>
  </si>
  <si>
    <t>Technology &amp; Tools</t>
  </si>
  <si>
    <t>Talent &amp; Skills</t>
  </si>
  <si>
    <t>Governance &amp; 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</si>
</sst>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Test Automation Maturity Radar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'Assessment Scores (2)'!$B$1</c:f>
              <c:strCache>
                <c:ptCount val="1"/>
                <c:pt idx="0">
                  <c:v>Score (1-5)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'Assessment Scores (2)'!$A$2:$A$11</c:f>
              <c:strCache>
                <c:ptCount val="10"/>
                <c:pt idx="0">
                  <c:v>Capability Area</c:v>
                </c:pt>
                <c:pt idx="1">
                  <c:v>Strategy &amp; Vision</c:v>
                </c:pt>
                <c:pt idx="2">
                  <c:v>Test Coverage</c:v>
                </c:pt>
                <c:pt idx="3">
                  <c:v>Tooling &amp; Frameworks</c:v>
                </c:pt>
                <c:pt idx="4">
                  <c:v>Test Design &amp; Reuse</c:v>
                </c:pt>
                <c:pt idx="5">
                  <c:v>CI/CD Integration</c:v>
                </c:pt>
                <c:pt idx="6">
                  <c:v>Execution &amp; Environment</c:v>
                </c:pt>
                <c:pt idx="7">
                  <c:v>Test Data Management</c:v>
                </c:pt>
                <c:pt idx="8">
                  <c:v>Reporting &amp; Analytics</c:v>
                </c:pt>
                <c:pt idx="9">
                  <c:v>Team Skills &amp; Culture</c:v>
                </c:pt>
              </c:strCache>
            </c:strRef>
          </c:cat>
          <c:val>
            <c:numRef>
              <c:f>'Assessment Scores (2)'!$B$2:$B$11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E-4D3C-B8F7-9E7199DB1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Strategic</a:t>
            </a:r>
            <a:r>
              <a:rPr lang="en-GB" baseline="0"/>
              <a:t> Agility Readiness </a:t>
            </a:r>
            <a:r>
              <a:rPr lang="en-GB"/>
              <a:t>Radar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'Assessment Scores'!$B$1</c:f>
              <c:strCache>
                <c:ptCount val="1"/>
                <c:pt idx="0">
                  <c:v>Score (1-5)</c:v>
                </c:pt>
              </c:strCache>
            </c:strRef>
          </c:tx>
          <c:spPr>
            <a:ln w="698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strRef>
              <c:f>'Assessment Scores'!$A$2:$A$8</c:f>
              <c:strCache>
                <c:ptCount val="7"/>
                <c:pt idx="0">
                  <c:v>Leadership Commitment &amp; Vision</c:v>
                </c:pt>
                <c:pt idx="1">
                  <c:v>Organisational Culture</c:v>
                </c:pt>
                <c:pt idx="2">
                  <c:v>Structural Flexibility</c:v>
                </c:pt>
                <c:pt idx="3">
                  <c:v>Capability to Sense &amp; Respond</c:v>
                </c:pt>
                <c:pt idx="4">
                  <c:v>Technology &amp; Tools</c:v>
                </c:pt>
                <c:pt idx="5">
                  <c:v>Talent &amp; Skills</c:v>
                </c:pt>
                <c:pt idx="6">
                  <c:v>Governance &amp; Incentives</c:v>
                </c:pt>
              </c:strCache>
            </c:strRef>
          </c:cat>
          <c:val>
            <c:numRef>
              <c:f>'Assessment Scores'!$B$2:$B$8</c:f>
              <c:numCache>
                <c:formatCode>General</c:formatCode>
                <c:ptCount val="7"/>
                <c:pt idx="0">
                  <c:v>3.5</c:v>
                </c:pt>
                <c:pt idx="1">
                  <c:v>3.0357142857142856</c:v>
                </c:pt>
                <c:pt idx="2">
                  <c:v>3.1785714285714284</c:v>
                </c:pt>
                <c:pt idx="3">
                  <c:v>3.4285714285714284</c:v>
                </c:pt>
                <c:pt idx="4">
                  <c:v>3.8571428571428572</c:v>
                </c:pt>
                <c:pt idx="5">
                  <c:v>4.1785714285714288</c:v>
                </c:pt>
                <c:pt idx="6">
                  <c:v>3.3214285714285716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6-8745-933A-868291C6FD65}"/>
            </c:ext>
          </c:extLst>
        </c:ser>
        <c:ser>
          <c:idx val="1"/>
          <c:order val="1"/>
          <c:tx>
            <c:strRef>
              <c:f>'Assessment Scores'!$C$1</c:f>
              <c:strCache>
                <c:ptCount val="1"/>
                <c:pt idx="0">
                  <c:v>Health</c:v>
                </c:pt>
              </c:strCache>
            </c:strRef>
          </c:tx>
          <c:spPr>
            <a:ln w="38100"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F027-8B43-805A-E7D5E66BE743}"/>
              </c:ext>
            </c:extLst>
          </c:dPt>
          <c:cat>
            <c:strRef>
              <c:f>'Assessment Scores'!$A$2:$A$8</c:f>
              <c:strCache>
                <c:ptCount val="7"/>
                <c:pt idx="0">
                  <c:v>Leadership Commitment &amp; Vision</c:v>
                </c:pt>
                <c:pt idx="1">
                  <c:v>Organisational Culture</c:v>
                </c:pt>
                <c:pt idx="2">
                  <c:v>Structural Flexibility</c:v>
                </c:pt>
                <c:pt idx="3">
                  <c:v>Capability to Sense &amp; Respond</c:v>
                </c:pt>
                <c:pt idx="4">
                  <c:v>Technology &amp; Tools</c:v>
                </c:pt>
                <c:pt idx="5">
                  <c:v>Talent &amp; Skills</c:v>
                </c:pt>
                <c:pt idx="6">
                  <c:v>Governance &amp; Incentives</c:v>
                </c:pt>
              </c:strCache>
            </c:strRef>
          </c:cat>
          <c:val>
            <c:numRef>
              <c:f>'Assessment Scores'!$C$2:$C$8</c:f>
              <c:numCache>
                <c:formatCode>General</c:formatCode>
                <c:ptCount val="7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7-8B43-805A-E7D5E66BE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3175" cmpd="thickThin">
      <a:prstDash val="dash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77FFF-2313-4071-9383-F40DF9306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9</xdr:row>
      <xdr:rowOff>9525</xdr:rowOff>
    </xdr:from>
    <xdr:ext cx="10642600" cy="4524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6" sqref="D6"/>
    </sheetView>
  </sheetViews>
  <sheetFormatPr defaultColWidth="8.85546875" defaultRowHeight="15"/>
  <cols>
    <col min="1" max="1" width="22.28515625" bestFit="1" customWidth="1"/>
    <col min="2" max="2" width="26" bestFit="1" customWidth="1"/>
    <col min="3" max="3" width="28.42578125" bestFit="1" customWidth="1"/>
    <col min="4" max="4" width="41" bestFit="1" customWidth="1"/>
    <col min="5" max="5" width="33.7109375" bestFit="1" customWidth="1"/>
    <col min="6" max="6" width="41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E690-C5E0-4FD8-93F7-D7AECA2EBA4A}">
  <dimension ref="A1:B11"/>
  <sheetViews>
    <sheetView workbookViewId="0"/>
  </sheetViews>
  <sheetFormatPr defaultColWidth="8.85546875" defaultRowHeight="15"/>
  <cols>
    <col min="1" max="1" width="20.7109375" bestFit="1" customWidth="1"/>
    <col min="2" max="2" width="9.28515625" bestFit="1" customWidth="1"/>
  </cols>
  <sheetData>
    <row r="1" spans="1:2">
      <c r="A1" s="2" t="s">
        <v>0</v>
      </c>
      <c r="B1" s="2" t="s">
        <v>66</v>
      </c>
    </row>
    <row r="2" spans="1:2">
      <c r="A2" t="s">
        <v>0</v>
      </c>
      <c r="B2">
        <v>1</v>
      </c>
    </row>
    <row r="3" spans="1:2">
      <c r="A3" t="s">
        <v>6</v>
      </c>
      <c r="B3">
        <v>1</v>
      </c>
    </row>
    <row r="4" spans="1:2">
      <c r="A4" t="s">
        <v>12</v>
      </c>
      <c r="B4">
        <v>1</v>
      </c>
    </row>
    <row r="5" spans="1:2">
      <c r="A5" t="s">
        <v>18</v>
      </c>
      <c r="B5">
        <v>1</v>
      </c>
    </row>
    <row r="6" spans="1:2">
      <c r="A6" t="s">
        <v>24</v>
      </c>
      <c r="B6">
        <v>1</v>
      </c>
    </row>
    <row r="7" spans="1:2">
      <c r="A7" t="s">
        <v>30</v>
      </c>
      <c r="B7">
        <v>1</v>
      </c>
    </row>
    <row r="8" spans="1:2">
      <c r="A8" t="s">
        <v>36</v>
      </c>
      <c r="B8">
        <v>1</v>
      </c>
    </row>
    <row r="9" spans="1:2">
      <c r="A9" t="s">
        <v>42</v>
      </c>
      <c r="B9">
        <v>1</v>
      </c>
    </row>
    <row r="10" spans="1:2">
      <c r="A10" t="s">
        <v>48</v>
      </c>
      <c r="B10">
        <v>1</v>
      </c>
    </row>
    <row r="11" spans="1:2">
      <c r="A11" t="s">
        <v>54</v>
      </c>
      <c r="B1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>
      <selection activeCell="K1" sqref="K1:K1048576"/>
    </sheetView>
  </sheetViews>
  <sheetFormatPr defaultColWidth="8.85546875" defaultRowHeight="15"/>
  <cols>
    <col min="1" max="1" width="30.140625" bestFit="1" customWidth="1"/>
    <col min="2" max="2" width="9.28515625" bestFit="1" customWidth="1"/>
  </cols>
  <sheetData>
    <row r="1" spans="1:10">
      <c r="A1" s="2" t="s">
        <v>0</v>
      </c>
      <c r="B1" s="2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  <row r="2" spans="1:10">
      <c r="A2" t="s">
        <v>75</v>
      </c>
      <c r="B2">
        <f>AVERAGE(D2:J2)</f>
        <v>3.5</v>
      </c>
      <c r="C2">
        <v>3.5</v>
      </c>
      <c r="D2">
        <v>3.75</v>
      </c>
      <c r="E2">
        <v>3.25</v>
      </c>
      <c r="F2">
        <f>16/4</f>
        <v>4</v>
      </c>
      <c r="G2">
        <f>13/4</f>
        <v>3.25</v>
      </c>
      <c r="H2">
        <f>12/4</f>
        <v>3</v>
      </c>
      <c r="I2">
        <v>3.5</v>
      </c>
      <c r="J2">
        <f>15/4</f>
        <v>3.75</v>
      </c>
    </row>
    <row r="3" spans="1:10">
      <c r="A3" t="s">
        <v>76</v>
      </c>
      <c r="B3">
        <f>AVERAGE(D3:J3)</f>
        <v>3.0357142857142856</v>
      </c>
      <c r="C3">
        <v>3.5</v>
      </c>
      <c r="D3">
        <v>4.25</v>
      </c>
      <c r="E3">
        <f>14/4</f>
        <v>3.5</v>
      </c>
      <c r="F3">
        <f>11/4</f>
        <v>2.75</v>
      </c>
      <c r="G3">
        <f>11/4</f>
        <v>2.75</v>
      </c>
      <c r="H3">
        <f>10/4</f>
        <v>2.5</v>
      </c>
      <c r="I3">
        <v>3.25</v>
      </c>
      <c r="J3">
        <f>9/4</f>
        <v>2.25</v>
      </c>
    </row>
    <row r="4" spans="1:10">
      <c r="A4" t="s">
        <v>77</v>
      </c>
      <c r="B4">
        <f>AVERAGE(D4:J4)</f>
        <v>3.1785714285714284</v>
      </c>
      <c r="C4">
        <v>3.5</v>
      </c>
      <c r="D4">
        <v>4.25</v>
      </c>
      <c r="E4">
        <f>16/4</f>
        <v>4</v>
      </c>
      <c r="F4">
        <f>14/4</f>
        <v>3.5</v>
      </c>
      <c r="G4">
        <f>7/4</f>
        <v>1.75</v>
      </c>
      <c r="H4">
        <f>13/4</f>
        <v>3.25</v>
      </c>
      <c r="I4">
        <v>3.5</v>
      </c>
      <c r="J4">
        <f>8/4</f>
        <v>2</v>
      </c>
    </row>
    <row r="5" spans="1:10">
      <c r="A5" t="s">
        <v>78</v>
      </c>
      <c r="B5">
        <f>AVERAGE(D5:J5)</f>
        <v>3.4285714285714284</v>
      </c>
      <c r="C5">
        <v>3.5</v>
      </c>
      <c r="D5">
        <v>4</v>
      </c>
      <c r="E5">
        <f>16/4</f>
        <v>4</v>
      </c>
      <c r="F5">
        <f>15/4</f>
        <v>3.75</v>
      </c>
      <c r="G5">
        <f>13/4</f>
        <v>3.25</v>
      </c>
      <c r="H5" s="3">
        <f>11/4</f>
        <v>2.75</v>
      </c>
      <c r="I5">
        <v>4.25</v>
      </c>
      <c r="J5">
        <f>8/4</f>
        <v>2</v>
      </c>
    </row>
    <row r="6" spans="1:10">
      <c r="A6" t="s">
        <v>79</v>
      </c>
      <c r="B6">
        <f>AVERAGE(D6:J6)</f>
        <v>3.8571428571428572</v>
      </c>
      <c r="C6">
        <v>3.5</v>
      </c>
      <c r="D6">
        <v>5</v>
      </c>
      <c r="E6">
        <f>16/4</f>
        <v>4</v>
      </c>
      <c r="F6">
        <f>17/4</f>
        <v>4.25</v>
      </c>
      <c r="G6">
        <f>14/4</f>
        <v>3.5</v>
      </c>
      <c r="H6">
        <f>15/4</f>
        <v>3.75</v>
      </c>
      <c r="I6">
        <v>3.5</v>
      </c>
      <c r="J6">
        <f>12/4</f>
        <v>3</v>
      </c>
    </row>
    <row r="7" spans="1:10">
      <c r="A7" t="s">
        <v>80</v>
      </c>
      <c r="B7">
        <f>AVERAGE(D7:J7)</f>
        <v>4.1785714285714288</v>
      </c>
      <c r="C7">
        <v>3.5</v>
      </c>
      <c r="D7">
        <v>5</v>
      </c>
      <c r="E7">
        <f>16/4</f>
        <v>4</v>
      </c>
      <c r="F7">
        <f>19/4</f>
        <v>4.75</v>
      </c>
      <c r="G7">
        <v>4</v>
      </c>
      <c r="H7">
        <f>15/4</f>
        <v>3.75</v>
      </c>
      <c r="I7">
        <v>3.25</v>
      </c>
      <c r="J7">
        <f>18/4</f>
        <v>4.5</v>
      </c>
    </row>
    <row r="8" spans="1:10">
      <c r="A8" t="s">
        <v>81</v>
      </c>
      <c r="B8">
        <f>AVERAGE(D8:J8)</f>
        <v>3.3214285714285716</v>
      </c>
      <c r="C8">
        <v>3.5</v>
      </c>
      <c r="D8">
        <v>4</v>
      </c>
      <c r="E8">
        <f>11/4</f>
        <v>2.75</v>
      </c>
      <c r="F8">
        <f>17/4</f>
        <v>4.25</v>
      </c>
      <c r="G8">
        <f>11/4</f>
        <v>2.75</v>
      </c>
      <c r="H8">
        <f>14/4</f>
        <v>3.5</v>
      </c>
      <c r="I8">
        <v>3.75</v>
      </c>
      <c r="J8">
        <f>9/4</f>
        <v>2.25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Oluwasegun Meduoye</cp:lastModifiedBy>
  <cp:revision/>
  <dcterms:created xsi:type="dcterms:W3CDTF">2025-06-17T04:09:37Z</dcterms:created>
  <dcterms:modified xsi:type="dcterms:W3CDTF">2025-10-22T13:36:21Z</dcterms:modified>
  <cp:category/>
  <cp:contentStatus/>
</cp:coreProperties>
</file>